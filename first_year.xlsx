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tudent Data" sheetId="1" state="visible" r:id="rId1"/>
    <sheet xmlns:r="http://schemas.openxmlformats.org/officeDocument/2006/relationships" name="Semester Structure" sheetId="2" state="visible" r:id="rId2"/>
  </sheets>
  <definedNames>
    <definedName name="_xlnm._FilterDatabase" localSheetId="0" hidden="1">'Student Data'!$A$5:$M$10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4"/>
    </font>
    <font>
      <b val="1"/>
      <sz val="11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left style="thin">
        <color rgb="00D9E1F2"/>
      </left>
      <right style="thin">
        <color rgb="00D9E1F2"/>
      </right>
      <top style="thin">
        <color rgb="00D9E1F2"/>
      </top>
      <bottom style="thin">
        <color rgb="00D9E1F2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applyAlignment="1" pivotButton="0" quotePrefix="0" xfId="0">
      <alignment horizontal="center"/>
    </xf>
    <xf numFmtId="0" fontId="2" fillId="0" borderId="0" applyAlignment="1" pivotButton="0" quotePrefix="0" xfId="0">
      <alignment horizontal="center"/>
    </xf>
    <xf numFmtId="0" fontId="3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3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0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14" customWidth="1" min="1" max="1"/>
    <col width="20" customWidth="1" min="2" max="2"/>
    <col width="12" customWidth="1" min="3" max="3"/>
    <col width="24" customWidth="1" min="4" max="4"/>
    <col width="10" customWidth="1" min="5" max="5"/>
    <col width="10" customWidth="1" min="6" max="6"/>
    <col width="10" customWidth="1" min="7" max="7"/>
    <col width="10" customWidth="1" min="8" max="8"/>
    <col width="12" customWidth="1" min="9" max="9"/>
    <col width="14" customWidth="1" min="10" max="10"/>
    <col width="14" customWidth="1" min="11" max="11"/>
    <col width="20" customWidth="1" min="12" max="12"/>
    <col width="10" customWidth="1" min="13" max="13"/>
  </cols>
  <sheetData>
    <row r="1">
      <c r="A1" s="1" t="inlineStr">
        <is>
          <t>STUDENT PERFORMANCE ANALYSIS SYSTEM</t>
        </is>
      </c>
    </row>
    <row r="2">
      <c r="A2" s="2" t="inlineStr">
        <is>
          <t>Department: Computer Engineering</t>
        </is>
      </c>
    </row>
    <row r="3">
      <c r="A3" s="2" t="inlineStr">
        <is>
          <t>1st Year</t>
        </is>
      </c>
    </row>
    <row r="5">
      <c r="A5" s="3" t="inlineStr">
        <is>
          <t>Student_ID</t>
        </is>
      </c>
      <c r="B5" s="3" t="inlineStr">
        <is>
          <t>Name</t>
        </is>
      </c>
      <c r="C5" s="3" t="inlineStr">
        <is>
          <t>Gender</t>
        </is>
      </c>
      <c r="D5" s="3" t="inlineStr">
        <is>
          <t>Class</t>
        </is>
      </c>
      <c r="E5" s="3" t="inlineStr">
        <is>
          <t>OSY</t>
        </is>
      </c>
      <c r="F5" s="3" t="inlineStr">
        <is>
          <t>STE</t>
        </is>
      </c>
      <c r="G5" s="3" t="inlineStr">
        <is>
          <t>ACN</t>
        </is>
      </c>
      <c r="H5" s="3" t="inlineStr">
        <is>
          <t>DAN</t>
        </is>
      </c>
      <c r="I5" s="3" t="inlineStr">
        <is>
          <t>Total</t>
        </is>
      </c>
      <c r="J5" s="3" t="inlineStr">
        <is>
          <t>Percentage</t>
        </is>
      </c>
      <c r="K5" s="3" t="inlineStr">
        <is>
          <t>Attendance</t>
        </is>
      </c>
      <c r="L5" s="3" t="inlineStr">
        <is>
          <t>Attendance Status</t>
        </is>
      </c>
      <c r="M5" s="3" t="inlineStr">
        <is>
          <t>Grade</t>
        </is>
      </c>
    </row>
    <row r="6">
      <c r="A6" s="4" t="n">
        <v>1001</v>
      </c>
      <c r="B6" s="4" t="inlineStr">
        <is>
          <t>Rahul Patil</t>
        </is>
      </c>
      <c r="C6" s="4" t="inlineStr">
        <is>
          <t>Male</t>
        </is>
      </c>
      <c r="D6" s="4" t="inlineStr">
        <is>
          <t>Computer Engineering</t>
        </is>
      </c>
      <c r="E6" s="4" t="n">
        <v>82</v>
      </c>
      <c r="F6" s="4" t="n">
        <v>76</v>
      </c>
      <c r="G6" s="4" t="n">
        <v>88</v>
      </c>
      <c r="H6" s="4" t="n">
        <v>91</v>
      </c>
      <c r="I6" s="4">
        <f>SUM(E6:H6)</f>
        <v/>
      </c>
      <c r="J6" s="4">
        <f>I6/400*100</f>
        <v/>
      </c>
      <c r="K6" s="4" t="n">
        <v>92</v>
      </c>
      <c r="L6" s="4">
        <f>IF(K6&gt;=75,"Good","Low")</f>
        <v/>
      </c>
      <c r="M6" s="4">
        <f>IF(J6&gt;=90,"A+",IF(J6&gt;=80,"A",IF(J6&gt;=70,"B",IF(J6&gt;=60,"C",IF(J6&gt;=50,"D","F")))))</f>
        <v/>
      </c>
    </row>
    <row r="7">
      <c r="A7" s="4" t="n">
        <v>1002</v>
      </c>
      <c r="B7" s="4" t="inlineStr">
        <is>
          <t>Priya Jadhav</t>
        </is>
      </c>
      <c r="C7" s="4" t="inlineStr">
        <is>
          <t>Female</t>
        </is>
      </c>
      <c r="D7" s="4" t="inlineStr">
        <is>
          <t>Computer Engineering</t>
        </is>
      </c>
      <c r="E7" s="4" t="n">
        <v>90</v>
      </c>
      <c r="F7" s="4" t="n">
        <v>85</v>
      </c>
      <c r="G7" s="4" t="n">
        <v>94</v>
      </c>
      <c r="H7" s="4" t="n">
        <v>89</v>
      </c>
      <c r="I7" s="4">
        <f>SUM(E7:H7)</f>
        <v/>
      </c>
      <c r="J7" s="4">
        <f>I7/400*100</f>
        <v/>
      </c>
      <c r="K7" s="4" t="n">
        <v>96</v>
      </c>
      <c r="L7" s="4">
        <f>IF(K7&gt;=75,"Good","Low")</f>
        <v/>
      </c>
      <c r="M7" s="4">
        <f>IF(J7&gt;=90,"A+",IF(J7&gt;=80,"A",IF(J7&gt;=70,"B",IF(J7&gt;=60,"C",IF(J7&gt;=50,"D","F")))))</f>
        <v/>
      </c>
    </row>
    <row r="8">
      <c r="A8" s="4" t="n">
        <v>1003</v>
      </c>
      <c r="B8" s="4" t="inlineStr">
        <is>
          <t>Amit Shinde</t>
        </is>
      </c>
      <c r="C8" s="4" t="inlineStr">
        <is>
          <t>Male</t>
        </is>
      </c>
      <c r="D8" s="4" t="inlineStr">
        <is>
          <t>Computer Engineering</t>
        </is>
      </c>
      <c r="E8" s="4" t="n">
        <v>71</v>
      </c>
      <c r="F8" s="4" t="n">
        <v>68</v>
      </c>
      <c r="G8" s="4" t="n">
        <v>75</v>
      </c>
      <c r="H8" s="4" t="n">
        <v>73</v>
      </c>
      <c r="I8" s="4">
        <f>SUM(E8:H8)</f>
        <v/>
      </c>
      <c r="J8" s="4">
        <f>I8/400*100</f>
        <v/>
      </c>
      <c r="K8" s="4" t="n">
        <v>81</v>
      </c>
      <c r="L8" s="4">
        <f>IF(K8&gt;=75,"Good","Low")</f>
        <v/>
      </c>
      <c r="M8" s="4">
        <f>IF(J8&gt;=90,"A+",IF(J8&gt;=80,"A",IF(J8&gt;=70,"B",IF(J8&gt;=60,"C",IF(J8&gt;=50,"D","F")))))</f>
        <v/>
      </c>
    </row>
    <row r="9">
      <c r="A9" s="4" t="n">
        <v>1004</v>
      </c>
      <c r="B9" s="4" t="inlineStr">
        <is>
          <t>Sneha Patil</t>
        </is>
      </c>
      <c r="C9" s="4" t="inlineStr">
        <is>
          <t>Female</t>
        </is>
      </c>
      <c r="D9" s="4" t="inlineStr">
        <is>
          <t>Computer Engineering</t>
        </is>
      </c>
      <c r="E9" s="4" t="n">
        <v>64</v>
      </c>
      <c r="F9" s="4" t="n">
        <v>72</v>
      </c>
      <c r="G9" s="4" t="n">
        <v>69</v>
      </c>
      <c r="H9" s="4" t="n">
        <v>78</v>
      </c>
      <c r="I9" s="4">
        <f>SUM(E9:H9)</f>
        <v/>
      </c>
      <c r="J9" s="4">
        <f>I9/400*100</f>
        <v/>
      </c>
      <c r="K9" s="4" t="n">
        <v>88</v>
      </c>
      <c r="L9" s="4">
        <f>IF(K9&gt;=75,"Good","Low")</f>
        <v/>
      </c>
      <c r="M9" s="4">
        <f>IF(J9&gt;=90,"A+",IF(J9&gt;=80,"A",IF(J9&gt;=70,"B",IF(J9&gt;=60,"C",IF(J9&gt;=50,"D","F")))))</f>
        <v/>
      </c>
    </row>
    <row r="10">
      <c r="A10" s="4" t="n">
        <v>1005</v>
      </c>
      <c r="B10" s="4" t="inlineStr">
        <is>
          <t>Vishal Pawar</t>
        </is>
      </c>
      <c r="C10" s="4" t="inlineStr">
        <is>
          <t>Male</t>
        </is>
      </c>
      <c r="D10" s="4" t="inlineStr">
        <is>
          <t>Computer Engineering</t>
        </is>
      </c>
      <c r="E10" s="4" t="n">
        <v>55</v>
      </c>
      <c r="F10" s="4" t="n">
        <v>61</v>
      </c>
      <c r="G10" s="4" t="n">
        <v>58</v>
      </c>
      <c r="H10" s="4" t="n">
        <v>63</v>
      </c>
      <c r="I10" s="4">
        <f>SUM(E10:H10)</f>
        <v/>
      </c>
      <c r="J10" s="4">
        <f>I10/400*100</f>
        <v/>
      </c>
      <c r="K10" s="4" t="n">
        <v>74</v>
      </c>
      <c r="L10" s="4">
        <f>IF(K10&gt;=75,"Good","Low")</f>
        <v/>
      </c>
      <c r="M10" s="4">
        <f>IF(J10&gt;=90,"A+",IF(J10&gt;=80,"A",IF(J10&gt;=70,"B",IF(J10&gt;=60,"C",IF(J10&gt;=50,"D","F")))))</f>
        <v/>
      </c>
    </row>
  </sheetData>
  <autoFilter ref="A5:M10"/>
  <mergeCells count="3">
    <mergeCell ref="A3:M3"/>
    <mergeCell ref="A2:M2"/>
    <mergeCell ref="A1:M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15" customWidth="1" min="1" max="1"/>
    <col width="18" customWidth="1" min="2" max="2"/>
    <col width="25" customWidth="1" min="3" max="3"/>
  </cols>
  <sheetData>
    <row r="1">
      <c r="A1" s="5" t="inlineStr">
        <is>
          <t>Semester</t>
        </is>
      </c>
      <c r="B1" s="5" t="inlineStr">
        <is>
          <t>Academic Year</t>
        </is>
      </c>
      <c r="C1" s="5" t="inlineStr">
        <is>
          <t>Suggested Use</t>
        </is>
      </c>
    </row>
    <row r="2">
      <c r="A2" t="inlineStr">
        <is>
          <t>Sem 1</t>
        </is>
      </c>
      <c r="B2" t="inlineStr">
        <is>
          <t>2025-26</t>
        </is>
      </c>
      <c r="C2" t="inlineStr">
        <is>
          <t>MSBTE K Scheme</t>
        </is>
      </c>
    </row>
    <row r="3">
      <c r="A3" t="inlineStr">
        <is>
          <t>Sem 2</t>
        </is>
      </c>
      <c r="B3" t="inlineStr">
        <is>
          <t>2025-26</t>
        </is>
      </c>
      <c r="C3" t="inlineStr">
        <is>
          <t>MSBTE K Scheme</t>
        </is>
      </c>
    </row>
    <row r="4">
      <c r="A4" t="inlineStr">
        <is>
          <t>Sem 3</t>
        </is>
      </c>
      <c r="B4" t="inlineStr">
        <is>
          <t>2026-27</t>
        </is>
      </c>
      <c r="C4" t="inlineStr">
        <is>
          <t>MSBTE K Scheme</t>
        </is>
      </c>
    </row>
    <row r="5">
      <c r="A5" t="inlineStr">
        <is>
          <t>Sem 4</t>
        </is>
      </c>
      <c r="B5" t="inlineStr">
        <is>
          <t>2026-27</t>
        </is>
      </c>
      <c r="C5" t="inlineStr">
        <is>
          <t>MSBTE K Scheme</t>
        </is>
      </c>
    </row>
    <row r="6">
      <c r="A6" t="inlineStr">
        <is>
          <t>Sem 5</t>
        </is>
      </c>
      <c r="B6" t="inlineStr">
        <is>
          <t>2027-28</t>
        </is>
      </c>
      <c r="C6" t="inlineStr">
        <is>
          <t>MSBTE K Scheme</t>
        </is>
      </c>
    </row>
    <row r="7">
      <c r="A7" t="inlineStr">
        <is>
          <t>Sem 6</t>
        </is>
      </c>
      <c r="B7" t="inlineStr">
        <is>
          <t>2027-28</t>
        </is>
      </c>
      <c r="C7" t="inlineStr">
        <is>
          <t>MSBTE K Scheme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2026-08-14T15:54:02Z</dcterms:created>
  <dcterms:modified xmlns:dcterms="http://purl.org/dc/terms/" xmlns:xsi="http://www.w3.org/2001/XMLSchema-instance" xsi:type="dcterms:W3CDTF">2026-08-14T15:54:02Z</dcterms:modified>
</cp:coreProperties>
</file>